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ARC Institute\logical_method_excel\"/>
    </mc:Choice>
  </mc:AlternateContent>
  <xr:revisionPtr revIDLastSave="0" documentId="13_ncr:1_{3492FF74-3EF1-440A-B3FC-F3DF464CF90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7" i="1"/>
  <c r="O8" i="1"/>
  <c r="O9" i="1"/>
  <c r="O10" i="1"/>
  <c r="O5" i="1"/>
  <c r="M9" i="1"/>
  <c r="N6" i="1"/>
  <c r="N7" i="1"/>
  <c r="N8" i="1"/>
  <c r="N9" i="1"/>
  <c r="N10" i="1"/>
  <c r="M6" i="1"/>
  <c r="M7" i="1"/>
  <c r="M8" i="1"/>
  <c r="M10" i="1"/>
  <c r="M5" i="1"/>
  <c r="N5" i="1"/>
  <c r="L6" i="1"/>
  <c r="L9" i="1"/>
  <c r="L10" i="1"/>
  <c r="L5" i="1"/>
  <c r="I2" i="1"/>
  <c r="L7" i="1" s="1"/>
  <c r="K6" i="1"/>
  <c r="K7" i="1"/>
  <c r="K8" i="1"/>
  <c r="K9" i="1"/>
  <c r="K10" i="1"/>
  <c r="K5" i="1"/>
  <c r="L8" i="1" l="1"/>
</calcChain>
</file>

<file path=xl/sharedStrings.xml><?xml version="1.0" encoding="utf-8"?>
<sst xmlns="http://schemas.openxmlformats.org/spreadsheetml/2006/main" count="57" uniqueCount="46">
  <si>
    <t>budget</t>
  </si>
  <si>
    <t>seat_no</t>
  </si>
  <si>
    <t>customer_name</t>
  </si>
  <si>
    <t>baggage_weight</t>
  </si>
  <si>
    <t>seat_class</t>
  </si>
  <si>
    <t>ticket_no</t>
  </si>
  <si>
    <t>price</t>
  </si>
  <si>
    <t>from</t>
  </si>
  <si>
    <t xml:space="preserve"> to</t>
  </si>
  <si>
    <t>time</t>
  </si>
  <si>
    <t>cmp</t>
  </si>
  <si>
    <t>cust1</t>
  </si>
  <si>
    <t>P</t>
  </si>
  <si>
    <t>T-101</t>
  </si>
  <si>
    <t>NAGPUR</t>
  </si>
  <si>
    <t>DELHI</t>
  </si>
  <si>
    <t>indigo</t>
  </si>
  <si>
    <t>cust2</t>
  </si>
  <si>
    <t>E</t>
  </si>
  <si>
    <t>T-102</t>
  </si>
  <si>
    <t>PUNE</t>
  </si>
  <si>
    <t>MUMBAI</t>
  </si>
  <si>
    <t>AIR INDIA</t>
  </si>
  <si>
    <t>ARC_cust</t>
  </si>
  <si>
    <t>L</t>
  </si>
  <si>
    <t>T-103</t>
  </si>
  <si>
    <t>DUBAI</t>
  </si>
  <si>
    <t>qatar airlines</t>
  </si>
  <si>
    <t>Vigo_cust</t>
  </si>
  <si>
    <t>T-104</t>
  </si>
  <si>
    <t>arc2</t>
  </si>
  <si>
    <t>T-105</t>
  </si>
  <si>
    <t>hyderabad</t>
  </si>
  <si>
    <t>DB_user1</t>
  </si>
  <si>
    <t>p</t>
  </si>
  <si>
    <t>T-106</t>
  </si>
  <si>
    <t>if else</t>
  </si>
  <si>
    <t>20+buget</t>
  </si>
  <si>
    <t>if else if</t>
  </si>
  <si>
    <t>m.time</t>
  </si>
  <si>
    <t>t.time</t>
  </si>
  <si>
    <t xml:space="preserve">difference </t>
  </si>
  <si>
    <t>travel</t>
  </si>
  <si>
    <t>MIN(IF(Table1[travel]="I can travel", Table1[difference]))</t>
  </si>
  <si>
    <t>=MINIFS(Table1[difference], Table1[travel], "I can travel")</t>
  </si>
  <si>
    <t xml:space="preserve">range of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</si>
</sst>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20" fontId="0" fillId="3" borderId="1" xfId="0" applyNumberFormat="1" applyFill="1" applyBorder="1" applyAlignment="1">
      <alignment horizontal="left"/>
    </xf>
    <xf numFmtId="165" fontId="0" fillId="0" borderId="0" xfId="0" applyNumberFormat="1"/>
    <xf numFmtId="165" fontId="0" fillId="3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topLeftCell="H1" zoomScale="136" workbookViewId="0">
      <selection activeCell="P7" sqref="P7"/>
    </sheetView>
  </sheetViews>
  <sheetFormatPr defaultRowHeight="14.4" x14ac:dyDescent="0.3"/>
  <cols>
    <col min="10" max="10" width="12.5546875" customWidth="1"/>
    <col min="11" max="11" width="12.6640625" customWidth="1"/>
    <col min="12" max="12" width="26.44140625" customWidth="1"/>
    <col min="13" max="13" width="11" customWidth="1"/>
    <col min="14" max="14" width="12.77734375" customWidth="1"/>
    <col min="15" max="15" width="11.5546875" customWidth="1"/>
  </cols>
  <sheetData>
    <row r="1" spans="1:15" x14ac:dyDescent="0.3">
      <c r="A1" s="1"/>
      <c r="B1" s="1"/>
      <c r="C1" s="1"/>
      <c r="H1" t="s">
        <v>0</v>
      </c>
      <c r="I1">
        <v>90</v>
      </c>
      <c r="K1" t="s">
        <v>39</v>
      </c>
      <c r="L1" s="5">
        <v>0.85416666666666663</v>
      </c>
    </row>
    <row r="2" spans="1:15" x14ac:dyDescent="0.3">
      <c r="H2" t="s">
        <v>37</v>
      </c>
      <c r="I2">
        <f>20+I1</f>
        <v>110</v>
      </c>
      <c r="K2" t="s">
        <v>40</v>
      </c>
      <c r="L2" s="5">
        <v>2.0833333333333332E-2</v>
      </c>
      <c r="O2" t="s">
        <v>43</v>
      </c>
    </row>
    <row r="3" spans="1:15" x14ac:dyDescent="0.3">
      <c r="K3" t="s">
        <v>45</v>
      </c>
      <c r="L3" s="5">
        <v>0.25</v>
      </c>
      <c r="O3" t="s">
        <v>44</v>
      </c>
    </row>
    <row r="4" spans="1:15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36</v>
      </c>
      <c r="L4" s="2" t="s">
        <v>38</v>
      </c>
      <c r="M4" s="2" t="s">
        <v>41</v>
      </c>
      <c r="N4" s="2" t="s">
        <v>42</v>
      </c>
    </row>
    <row r="5" spans="1:15" x14ac:dyDescent="0.3">
      <c r="A5" s="3">
        <v>101</v>
      </c>
      <c r="B5" s="3" t="s">
        <v>11</v>
      </c>
      <c r="C5" s="3">
        <v>20</v>
      </c>
      <c r="D5" s="3" t="s">
        <v>12</v>
      </c>
      <c r="E5" s="3" t="s">
        <v>13</v>
      </c>
      <c r="F5" s="3">
        <v>60</v>
      </c>
      <c r="G5" s="3" t="s">
        <v>14</v>
      </c>
      <c r="H5" s="3" t="s">
        <v>15</v>
      </c>
      <c r="I5" s="4">
        <v>0.83333333333333337</v>
      </c>
      <c r="J5" s="3" t="s">
        <v>16</v>
      </c>
      <c r="K5" s="3" t="str">
        <f>IF(I$1&gt;=F5,"under budget","over budget")</f>
        <v>under budget</v>
      </c>
      <c r="L5" s="3" t="str">
        <f>IF(I$1&gt;=F5,"under budget",IF(I$2&gt;=F5,"increased value is under budget","over budget"))</f>
        <v>under budget</v>
      </c>
      <c r="M5" s="6">
        <f>L$1-I5</f>
        <v>2.0833333333333259E-2</v>
      </c>
      <c r="N5" s="3" t="str">
        <f>IF(M5&gt;L$2,"I can travel","I can't travel")</f>
        <v>I can't travel</v>
      </c>
      <c r="O5" t="str">
        <f>IF(M5&gt;L2=MIN(M5:M10,),"I can travel","I can't travel")</f>
        <v>I can't travel</v>
      </c>
    </row>
    <row r="6" spans="1:15" x14ac:dyDescent="0.3">
      <c r="A6" s="3">
        <v>102</v>
      </c>
      <c r="B6" s="3" t="s">
        <v>17</v>
      </c>
      <c r="C6" s="3">
        <v>30</v>
      </c>
      <c r="D6" s="3" t="s">
        <v>18</v>
      </c>
      <c r="E6" s="3" t="s">
        <v>19</v>
      </c>
      <c r="F6" s="3">
        <v>50</v>
      </c>
      <c r="G6" s="3" t="s">
        <v>20</v>
      </c>
      <c r="H6" s="3" t="s">
        <v>21</v>
      </c>
      <c r="I6" s="4">
        <v>0.64583333333333337</v>
      </c>
      <c r="J6" s="3" t="s">
        <v>22</v>
      </c>
      <c r="K6" s="3" t="str">
        <f t="shared" ref="K6:K10" si="0">IF(I$1&gt;=F6,"under budget","over budget")</f>
        <v>under budget</v>
      </c>
      <c r="L6" s="3" t="str">
        <f t="shared" ref="L6:L10" si="1">IF(I$1&gt;=F6,"under budget",IF(I$2&gt;=F6,"increased value is under budget","over budget"))</f>
        <v>under budget</v>
      </c>
      <c r="M6" s="6">
        <f t="shared" ref="M6:M10" si="2">L$1-I6</f>
        <v>0.20833333333333326</v>
      </c>
      <c r="N6" s="3" t="str">
        <f t="shared" ref="N6:N11" si="3">IF(M6&gt;L$2,"I can travel","I can't travel")</f>
        <v>I can travel</v>
      </c>
      <c r="O6" t="str">
        <f t="shared" ref="O6:O10" si="4">IF(M6&gt;L3=MIN(M6:M11,),"I can travel","I can't travel")</f>
        <v>I can't travel</v>
      </c>
    </row>
    <row r="7" spans="1:15" x14ac:dyDescent="0.3">
      <c r="A7" s="3">
        <v>103</v>
      </c>
      <c r="B7" s="3" t="s">
        <v>23</v>
      </c>
      <c r="C7" s="3">
        <v>50</v>
      </c>
      <c r="D7" s="3" t="s">
        <v>24</v>
      </c>
      <c r="E7" s="3" t="s">
        <v>25</v>
      </c>
      <c r="F7" s="3">
        <v>100</v>
      </c>
      <c r="G7" s="3" t="s">
        <v>14</v>
      </c>
      <c r="H7" s="3" t="s">
        <v>26</v>
      </c>
      <c r="I7" s="4">
        <v>0.34027777777777779</v>
      </c>
      <c r="J7" s="3" t="s">
        <v>27</v>
      </c>
      <c r="K7" s="3" t="str">
        <f t="shared" si="0"/>
        <v>over budget</v>
      </c>
      <c r="L7" s="3" t="str">
        <f t="shared" si="1"/>
        <v>increased value is under budget</v>
      </c>
      <c r="M7" s="6">
        <f t="shared" si="2"/>
        <v>0.51388888888888884</v>
      </c>
      <c r="N7" s="3" t="str">
        <f t="shared" si="3"/>
        <v>I can travel</v>
      </c>
      <c r="O7" t="str">
        <f t="shared" si="4"/>
        <v>I can't travel</v>
      </c>
    </row>
    <row r="8" spans="1:15" x14ac:dyDescent="0.3">
      <c r="A8" s="3">
        <v>104</v>
      </c>
      <c r="B8" s="3" t="s">
        <v>28</v>
      </c>
      <c r="C8" s="3">
        <v>40</v>
      </c>
      <c r="D8" s="3" t="s">
        <v>24</v>
      </c>
      <c r="E8" s="3" t="s">
        <v>29</v>
      </c>
      <c r="F8" s="3">
        <v>120</v>
      </c>
      <c r="G8" s="3" t="s">
        <v>26</v>
      </c>
      <c r="H8" s="3" t="s">
        <v>21</v>
      </c>
      <c r="I8" s="4">
        <v>2.361111111111111E-2</v>
      </c>
      <c r="J8" s="3" t="s">
        <v>27</v>
      </c>
      <c r="K8" s="3" t="str">
        <f t="shared" si="0"/>
        <v>over budget</v>
      </c>
      <c r="L8" s="3" t="str">
        <f t="shared" si="1"/>
        <v>over budget</v>
      </c>
      <c r="M8" s="6">
        <f t="shared" si="2"/>
        <v>0.83055555555555549</v>
      </c>
      <c r="N8" s="3" t="str">
        <f t="shared" si="3"/>
        <v>I can travel</v>
      </c>
      <c r="O8" t="str">
        <f t="shared" si="4"/>
        <v>I can't travel</v>
      </c>
    </row>
    <row r="9" spans="1:15" x14ac:dyDescent="0.3">
      <c r="A9" s="3">
        <v>105</v>
      </c>
      <c r="B9" s="3" t="s">
        <v>30</v>
      </c>
      <c r="C9" s="3">
        <v>10</v>
      </c>
      <c r="D9" s="3" t="s">
        <v>18</v>
      </c>
      <c r="E9" s="3" t="s">
        <v>31</v>
      </c>
      <c r="F9" s="3">
        <v>30</v>
      </c>
      <c r="G9" s="3" t="s">
        <v>14</v>
      </c>
      <c r="H9" s="3" t="s">
        <v>32</v>
      </c>
      <c r="I9" s="4">
        <v>0.99652777777777779</v>
      </c>
      <c r="J9" s="3" t="s">
        <v>16</v>
      </c>
      <c r="K9" s="3" t="str">
        <f t="shared" si="0"/>
        <v>under budget</v>
      </c>
      <c r="L9" s="3" t="str">
        <f t="shared" si="1"/>
        <v>under budget</v>
      </c>
      <c r="M9" s="6">
        <f t="shared" si="2"/>
        <v>-0.14236111111111116</v>
      </c>
      <c r="N9" s="3" t="str">
        <f t="shared" si="3"/>
        <v>I can't travel</v>
      </c>
      <c r="O9" t="str">
        <f t="shared" si="4"/>
        <v>I can't travel</v>
      </c>
    </row>
    <row r="10" spans="1:15" x14ac:dyDescent="0.3">
      <c r="A10" s="3">
        <v>106</v>
      </c>
      <c r="B10" s="3" t="s">
        <v>33</v>
      </c>
      <c r="C10" s="3">
        <v>30</v>
      </c>
      <c r="D10" s="3" t="s">
        <v>34</v>
      </c>
      <c r="E10" s="3" t="s">
        <v>35</v>
      </c>
      <c r="F10" s="3">
        <v>60</v>
      </c>
      <c r="G10" s="3" t="s">
        <v>32</v>
      </c>
      <c r="H10" s="3" t="s">
        <v>21</v>
      </c>
      <c r="I10" s="4">
        <v>0.50347222222222221</v>
      </c>
      <c r="J10" s="3" t="s">
        <v>22</v>
      </c>
      <c r="K10" s="3" t="str">
        <f t="shared" si="0"/>
        <v>under budget</v>
      </c>
      <c r="L10" s="3" t="str">
        <f t="shared" si="1"/>
        <v>under budget</v>
      </c>
      <c r="M10" s="6">
        <f t="shared" si="2"/>
        <v>0.35069444444444442</v>
      </c>
      <c r="N10" s="3" t="str">
        <f t="shared" si="3"/>
        <v>I can travel</v>
      </c>
      <c r="O10" t="str">
        <f t="shared" si="4"/>
        <v>I can't travel</v>
      </c>
    </row>
    <row r="11" spans="1:15" x14ac:dyDescent="0.3">
      <c r="M11" s="5"/>
      <c r="O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</dc:creator>
  <cp:lastModifiedBy>Atharva ninawe</cp:lastModifiedBy>
  <dcterms:created xsi:type="dcterms:W3CDTF">2015-06-05T18:17:20Z</dcterms:created>
  <dcterms:modified xsi:type="dcterms:W3CDTF">2026-03-14T10:48:34Z</dcterms:modified>
</cp:coreProperties>
</file>