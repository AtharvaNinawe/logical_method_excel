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ARC Institute\logical_method_excel\"/>
    </mc:Choice>
  </mc:AlternateContent>
  <xr:revisionPtr revIDLastSave="0" documentId="13_ncr:1_{9EE94C7A-3167-4328-AA79-D7DBDC4C7346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5" i="1" l="1"/>
  <c r="O6" i="1"/>
  <c r="O5" i="1"/>
  <c r="O7" i="1"/>
  <c r="O8" i="1"/>
  <c r="O9" i="1"/>
  <c r="O10" i="1"/>
  <c r="R14" i="2"/>
  <c r="R15" i="2"/>
  <c r="R16" i="2"/>
  <c r="R13" i="2"/>
  <c r="N14" i="2"/>
  <c r="N15" i="2"/>
  <c r="N16" i="2"/>
  <c r="N13" i="2"/>
  <c r="S13" i="2" s="1"/>
  <c r="N5" i="1"/>
  <c r="T6" i="1"/>
  <c r="T7" i="1"/>
  <c r="T8" i="1"/>
  <c r="T9" i="1"/>
  <c r="T10" i="1"/>
  <c r="T5" i="1"/>
  <c r="S14" i="2" l="1"/>
  <c r="S16" i="2"/>
  <c r="S15" i="2"/>
  <c r="S6" i="1"/>
  <c r="S7" i="1"/>
  <c r="S8" i="1"/>
  <c r="S9" i="1"/>
  <c r="S10" i="1"/>
  <c r="M9" i="1"/>
  <c r="N6" i="1"/>
  <c r="N7" i="1"/>
  <c r="N8" i="1"/>
  <c r="N9" i="1"/>
  <c r="N10" i="1"/>
  <c r="M6" i="1"/>
  <c r="M7" i="1"/>
  <c r="M8" i="1"/>
  <c r="M10" i="1"/>
  <c r="M5" i="1"/>
  <c r="L6" i="1"/>
  <c r="L9" i="1"/>
  <c r="L10" i="1"/>
  <c r="L5" i="1"/>
  <c r="I2" i="1"/>
  <c r="L7" i="1" s="1"/>
  <c r="K6" i="1"/>
  <c r="K7" i="1"/>
  <c r="K8" i="1"/>
  <c r="K9" i="1"/>
  <c r="K10" i="1"/>
  <c r="K5" i="1"/>
  <c r="L8" i="1" l="1"/>
</calcChain>
</file>

<file path=xl/sharedStrings.xml><?xml version="1.0" encoding="utf-8"?>
<sst xmlns="http://schemas.openxmlformats.org/spreadsheetml/2006/main" count="116" uniqueCount="51">
  <si>
    <t>budget</t>
  </si>
  <si>
    <t>seat_no</t>
  </si>
  <si>
    <t>customer_name</t>
  </si>
  <si>
    <t>baggage_weight</t>
  </si>
  <si>
    <t>seat_class</t>
  </si>
  <si>
    <t>ticket_no</t>
  </si>
  <si>
    <t>price</t>
  </si>
  <si>
    <t>from</t>
  </si>
  <si>
    <t xml:space="preserve"> to</t>
  </si>
  <si>
    <t>time</t>
  </si>
  <si>
    <t>cmp</t>
  </si>
  <si>
    <t>cust1</t>
  </si>
  <si>
    <t>P</t>
  </si>
  <si>
    <t>T-101</t>
  </si>
  <si>
    <t>NAGPUR</t>
  </si>
  <si>
    <t>DELHI</t>
  </si>
  <si>
    <t>indigo</t>
  </si>
  <si>
    <t>cust2</t>
  </si>
  <si>
    <t>E</t>
  </si>
  <si>
    <t>T-102</t>
  </si>
  <si>
    <t>PUNE</t>
  </si>
  <si>
    <t>MUMBAI</t>
  </si>
  <si>
    <t>AIR INDIA</t>
  </si>
  <si>
    <t>ARC_cust</t>
  </si>
  <si>
    <t>L</t>
  </si>
  <si>
    <t>T-103</t>
  </si>
  <si>
    <t>DUBAI</t>
  </si>
  <si>
    <t>qatar airlines</t>
  </si>
  <si>
    <t>Vigo_cust</t>
  </si>
  <si>
    <t>T-104</t>
  </si>
  <si>
    <t>arc2</t>
  </si>
  <si>
    <t>T-105</t>
  </si>
  <si>
    <t>hyderabad</t>
  </si>
  <si>
    <t>DB_user1</t>
  </si>
  <si>
    <t>p</t>
  </si>
  <si>
    <t>T-106</t>
  </si>
  <si>
    <t>if else</t>
  </si>
  <si>
    <t>20+buget</t>
  </si>
  <si>
    <t>if else if</t>
  </si>
  <si>
    <t>m.time</t>
  </si>
  <si>
    <t>t.time</t>
  </si>
  <si>
    <t xml:space="preserve">difference </t>
  </si>
  <si>
    <t>travel</t>
  </si>
  <si>
    <t xml:space="preserve">range of time </t>
  </si>
  <si>
    <t>HYDRABAD</t>
  </si>
  <si>
    <t>CITY</t>
  </si>
  <si>
    <t>COUNT OF CITY</t>
  </si>
  <si>
    <t>COUNTIF</t>
  </si>
  <si>
    <t>SUMIF</t>
  </si>
  <si>
    <t>SUM OF CITY PRICE</t>
  </si>
  <si>
    <t>AVERAGE TRAVELPRICE OF CITY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</si>
</sst>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left"/>
    </xf>
    <xf numFmtId="0" fontId="0" fillId="2" borderId="1" xfId="0" applyFill="1" applyBorder="1" applyAlignment="1">
      <alignment horizontal="left"/>
    </xf>
    <xf numFmtId="0" fontId="0" fillId="3" borderId="1" xfId="0" applyFill="1" applyBorder="1" applyAlignment="1">
      <alignment horizontal="left"/>
    </xf>
    <xf numFmtId="20" fontId="0" fillId="3" borderId="1" xfId="0" applyNumberFormat="1" applyFill="1" applyBorder="1" applyAlignment="1">
      <alignment horizontal="left"/>
    </xf>
    <xf numFmtId="164" fontId="0" fillId="0" borderId="0" xfId="0" applyNumberFormat="1"/>
    <xf numFmtId="164" fontId="0" fillId="3" borderId="1" xfId="0" applyNumberFormat="1" applyFill="1" applyBorder="1" applyAlignment="1">
      <alignment horizontal="left"/>
    </xf>
    <xf numFmtId="0" fontId="0" fillId="3" borderId="2" xfId="0" applyFill="1" applyBorder="1" applyAlignment="1">
      <alignment horizontal="left"/>
    </xf>
    <xf numFmtId="0" fontId="0" fillId="0" borderId="1" xfId="0" applyBorder="1"/>
    <xf numFmtId="0" fontId="0" fillId="3" borderId="3" xfId="0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1"/>
  <sheetViews>
    <sheetView tabSelected="1" topLeftCell="H1" zoomScale="136" workbookViewId="0">
      <selection activeCell="O17" sqref="O17"/>
    </sheetView>
  </sheetViews>
  <sheetFormatPr defaultRowHeight="14.4" x14ac:dyDescent="0.3"/>
  <cols>
    <col min="10" max="10" width="12.5546875" customWidth="1"/>
    <col min="11" max="11" width="12.6640625" customWidth="1"/>
    <col min="12" max="12" width="26.44140625" customWidth="1"/>
    <col min="13" max="13" width="11" customWidth="1"/>
    <col min="14" max="14" width="12.77734375" customWidth="1"/>
    <col min="15" max="15" width="16.21875" customWidth="1"/>
  </cols>
  <sheetData>
    <row r="1" spans="1:20" x14ac:dyDescent="0.3">
      <c r="A1" s="1"/>
      <c r="B1" s="1"/>
      <c r="C1" s="1"/>
      <c r="H1" t="s">
        <v>0</v>
      </c>
      <c r="I1">
        <v>90</v>
      </c>
      <c r="K1" t="s">
        <v>39</v>
      </c>
      <c r="L1" s="5">
        <v>0.85416666666666663</v>
      </c>
    </row>
    <row r="2" spans="1:20" x14ac:dyDescent="0.3">
      <c r="H2" t="s">
        <v>37</v>
      </c>
      <c r="I2">
        <f>20+I1</f>
        <v>110</v>
      </c>
      <c r="K2" t="s">
        <v>40</v>
      </c>
      <c r="L2" s="5">
        <v>2.0833333333333332E-2</v>
      </c>
    </row>
    <row r="3" spans="1:20" x14ac:dyDescent="0.3">
      <c r="K3" t="s">
        <v>43</v>
      </c>
      <c r="L3" s="5">
        <v>0.20833333333333334</v>
      </c>
    </row>
    <row r="4" spans="1:20" x14ac:dyDescent="0.3">
      <c r="A4" s="2" t="s">
        <v>1</v>
      </c>
      <c r="B4" s="2" t="s">
        <v>2</v>
      </c>
      <c r="C4" s="2" t="s">
        <v>3</v>
      </c>
      <c r="D4" s="2" t="s">
        <v>4</v>
      </c>
      <c r="E4" s="2" t="s">
        <v>5</v>
      </c>
      <c r="F4" s="2" t="s">
        <v>6</v>
      </c>
      <c r="G4" s="2" t="s">
        <v>7</v>
      </c>
      <c r="H4" s="2" t="s">
        <v>8</v>
      </c>
      <c r="I4" s="2" t="s">
        <v>9</v>
      </c>
      <c r="J4" s="2" t="s">
        <v>10</v>
      </c>
      <c r="K4" s="2" t="s">
        <v>36</v>
      </c>
      <c r="L4" s="2" t="s">
        <v>38</v>
      </c>
      <c r="M4" s="2" t="s">
        <v>41</v>
      </c>
      <c r="N4" s="2" t="s">
        <v>42</v>
      </c>
      <c r="O4" s="2"/>
    </row>
    <row r="5" spans="1:20" x14ac:dyDescent="0.3">
      <c r="A5" s="3">
        <v>101</v>
      </c>
      <c r="B5" s="3" t="s">
        <v>11</v>
      </c>
      <c r="C5" s="3">
        <v>20</v>
      </c>
      <c r="D5" s="3" t="s">
        <v>12</v>
      </c>
      <c r="E5" s="3" t="s">
        <v>13</v>
      </c>
      <c r="F5" s="3">
        <v>60</v>
      </c>
      <c r="G5" s="3" t="s">
        <v>14</v>
      </c>
      <c r="H5" s="3" t="s">
        <v>15</v>
      </c>
      <c r="I5" s="4">
        <v>0.83333333333333337</v>
      </c>
      <c r="J5" s="3" t="s">
        <v>16</v>
      </c>
      <c r="K5" s="3" t="str">
        <f>IF(I$1&gt;=F5,"under budget","over budget")</f>
        <v>under budget</v>
      </c>
      <c r="L5" s="3" t="str">
        <f>IF(I$1&gt;=F5,"under budget",IF(I$2&gt;=F5,"increased value is under budget","over budget"))</f>
        <v>under budget</v>
      </c>
      <c r="M5" s="6">
        <f>L$1-I5</f>
        <v>2.0833333333333259E-2</v>
      </c>
      <c r="N5" s="3" t="str">
        <f>IF(M5&gt;L$2,"I can travel","I can't travel")</f>
        <v>I can't travel</v>
      </c>
      <c r="O5" s="3" t="str">
        <f>IF(M5&gt;L$1,"BEST FOR TRAVEL",IF(M5&gt;L$3,"WASTE"," can't travel"))</f>
        <v xml:space="preserve"> can't travel</v>
      </c>
      <c r="S5" t="str">
        <f>IF(M5&gt;L2=MIN(M5:M10,),"I can travel","I can't travel")</f>
        <v>I can't travel</v>
      </c>
      <c r="T5">
        <f>_xlfn.RANK.EQ(M5,M$5:M$10,0)</f>
        <v>5</v>
      </c>
    </row>
    <row r="6" spans="1:20" x14ac:dyDescent="0.3">
      <c r="A6" s="3">
        <v>102</v>
      </c>
      <c r="B6" s="3" t="s">
        <v>17</v>
      </c>
      <c r="C6" s="3">
        <v>30</v>
      </c>
      <c r="D6" s="3" t="s">
        <v>18</v>
      </c>
      <c r="E6" s="3" t="s">
        <v>19</v>
      </c>
      <c r="F6" s="3">
        <v>50</v>
      </c>
      <c r="G6" s="3" t="s">
        <v>20</v>
      </c>
      <c r="H6" s="3" t="s">
        <v>21</v>
      </c>
      <c r="I6" s="4">
        <v>0.64583333333333337</v>
      </c>
      <c r="J6" s="3" t="s">
        <v>22</v>
      </c>
      <c r="K6" s="3" t="str">
        <f t="shared" ref="K6:K10" si="0">IF(I$1&gt;=F6,"under budget","over budget")</f>
        <v>under budget</v>
      </c>
      <c r="L6" s="3" t="str">
        <f t="shared" ref="L6:L10" si="1">IF(I$1&gt;=F6,"under budget",IF(I$2&gt;=F6,"increased value is under budget","over budget"))</f>
        <v>under budget</v>
      </c>
      <c r="M6" s="6">
        <f t="shared" ref="M6:M10" si="2">L$1-I6</f>
        <v>0.20833333333333326</v>
      </c>
      <c r="N6" s="3" t="str">
        <f t="shared" ref="N6:N11" si="3">IF(M6&gt;L$2,"I can travel","I can't travel")</f>
        <v>I can travel</v>
      </c>
      <c r="O6" s="3" t="str">
        <f>IF(M6&lt;L$1,"BEST FOR TRAVEL",IF(M6&gt;L$3,"WASTE"," can't travel"))</f>
        <v>BEST FOR TRAVEL</v>
      </c>
      <c r="S6" t="str">
        <f>IF(M6&gt;L3=MIN(M6:M11,),"I can travel","I can't travel")</f>
        <v>I can't travel</v>
      </c>
      <c r="T6">
        <f>_xlfn.RANK.EQ(M6,M$5:M$10,0)</f>
        <v>4</v>
      </c>
    </row>
    <row r="7" spans="1:20" x14ac:dyDescent="0.3">
      <c r="A7" s="3">
        <v>103</v>
      </c>
      <c r="B7" s="3" t="s">
        <v>23</v>
      </c>
      <c r="C7" s="3">
        <v>50</v>
      </c>
      <c r="D7" s="3" t="s">
        <v>24</v>
      </c>
      <c r="E7" s="3" t="s">
        <v>25</v>
      </c>
      <c r="F7" s="3">
        <v>100</v>
      </c>
      <c r="G7" s="3" t="s">
        <v>14</v>
      </c>
      <c r="H7" s="3" t="s">
        <v>26</v>
      </c>
      <c r="I7" s="4">
        <v>0.34027777777777779</v>
      </c>
      <c r="J7" s="3" t="s">
        <v>27</v>
      </c>
      <c r="K7" s="3" t="str">
        <f t="shared" si="0"/>
        <v>over budget</v>
      </c>
      <c r="L7" s="3" t="str">
        <f t="shared" si="1"/>
        <v>increased value is under budget</v>
      </c>
      <c r="M7" s="6">
        <f t="shared" si="2"/>
        <v>0.51388888888888884</v>
      </c>
      <c r="N7" s="3" t="str">
        <f t="shared" si="3"/>
        <v>I can travel</v>
      </c>
      <c r="O7" s="3" t="str">
        <f t="shared" ref="O7:O10" si="4">IF(M7&gt;L$1,"BEST FOR TRAVEL",IF(M7&gt;L$3,"WASTE"," can't travel"))</f>
        <v>WASTE</v>
      </c>
      <c r="S7" t="str">
        <f>IF(M7&gt;L4=MIN(M7:M12,),"I can travel","I can't travel")</f>
        <v>I can't travel</v>
      </c>
      <c r="T7">
        <f>_xlfn.RANK.EQ(M7,M$5:M$10,0)</f>
        <v>2</v>
      </c>
    </row>
    <row r="8" spans="1:20" x14ac:dyDescent="0.3">
      <c r="A8" s="3">
        <v>104</v>
      </c>
      <c r="B8" s="3" t="s">
        <v>28</v>
      </c>
      <c r="C8" s="3">
        <v>40</v>
      </c>
      <c r="D8" s="3" t="s">
        <v>24</v>
      </c>
      <c r="E8" s="3" t="s">
        <v>29</v>
      </c>
      <c r="F8" s="3">
        <v>120</v>
      </c>
      <c r="G8" s="3" t="s">
        <v>26</v>
      </c>
      <c r="H8" s="3" t="s">
        <v>21</v>
      </c>
      <c r="I8" s="4">
        <v>2.361111111111111E-2</v>
      </c>
      <c r="J8" s="3" t="s">
        <v>27</v>
      </c>
      <c r="K8" s="3" t="str">
        <f t="shared" si="0"/>
        <v>over budget</v>
      </c>
      <c r="L8" s="3" t="str">
        <f t="shared" si="1"/>
        <v>over budget</v>
      </c>
      <c r="M8" s="6">
        <f t="shared" si="2"/>
        <v>0.83055555555555549</v>
      </c>
      <c r="N8" s="3" t="str">
        <f t="shared" si="3"/>
        <v>I can travel</v>
      </c>
      <c r="O8" s="3" t="str">
        <f t="shared" si="4"/>
        <v>WASTE</v>
      </c>
      <c r="S8" t="str">
        <f>IF(M8&gt;L5=MIN(M8:M13,),"I can travel","I can't travel")</f>
        <v>I can't travel</v>
      </c>
      <c r="T8">
        <f>_xlfn.RANK.EQ(M8,M$5:M$10,0)</f>
        <v>1</v>
      </c>
    </row>
    <row r="9" spans="1:20" x14ac:dyDescent="0.3">
      <c r="A9" s="3">
        <v>105</v>
      </c>
      <c r="B9" s="3" t="s">
        <v>30</v>
      </c>
      <c r="C9" s="3">
        <v>10</v>
      </c>
      <c r="D9" s="3" t="s">
        <v>18</v>
      </c>
      <c r="E9" s="3" t="s">
        <v>31</v>
      </c>
      <c r="F9" s="3">
        <v>30</v>
      </c>
      <c r="G9" s="3" t="s">
        <v>14</v>
      </c>
      <c r="H9" s="3" t="s">
        <v>32</v>
      </c>
      <c r="I9" s="4">
        <v>0.99652777777777779</v>
      </c>
      <c r="J9" s="3" t="s">
        <v>16</v>
      </c>
      <c r="K9" s="3" t="str">
        <f t="shared" si="0"/>
        <v>under budget</v>
      </c>
      <c r="L9" s="3" t="str">
        <f t="shared" si="1"/>
        <v>under budget</v>
      </c>
      <c r="M9" s="6">
        <f t="shared" si="2"/>
        <v>-0.14236111111111116</v>
      </c>
      <c r="N9" s="3" t="str">
        <f t="shared" si="3"/>
        <v>I can't travel</v>
      </c>
      <c r="O9" s="3" t="str">
        <f t="shared" si="4"/>
        <v xml:space="preserve"> can't travel</v>
      </c>
      <c r="S9" t="str">
        <f>IF(M9&gt;L6=MIN(M9:M14,),"I can travel","I can't travel")</f>
        <v>I can't travel</v>
      </c>
      <c r="T9">
        <f>_xlfn.RANK.EQ(M9,M$5:M$10,0)</f>
        <v>6</v>
      </c>
    </row>
    <row r="10" spans="1:20" x14ac:dyDescent="0.3">
      <c r="A10" s="3">
        <v>106</v>
      </c>
      <c r="B10" s="3" t="s">
        <v>33</v>
      </c>
      <c r="C10" s="3">
        <v>30</v>
      </c>
      <c r="D10" s="3" t="s">
        <v>34</v>
      </c>
      <c r="E10" s="3" t="s">
        <v>35</v>
      </c>
      <c r="F10" s="3">
        <v>60</v>
      </c>
      <c r="G10" s="3" t="s">
        <v>32</v>
      </c>
      <c r="H10" s="3" t="s">
        <v>21</v>
      </c>
      <c r="I10" s="4">
        <v>0.50347222222222221</v>
      </c>
      <c r="J10" s="3" t="s">
        <v>22</v>
      </c>
      <c r="K10" s="3" t="str">
        <f t="shared" si="0"/>
        <v>under budget</v>
      </c>
      <c r="L10" s="3" t="str">
        <f t="shared" si="1"/>
        <v>under budget</v>
      </c>
      <c r="M10" s="6">
        <f t="shared" si="2"/>
        <v>0.35069444444444442</v>
      </c>
      <c r="N10" s="3" t="str">
        <f t="shared" si="3"/>
        <v>I can travel</v>
      </c>
      <c r="O10" s="3" t="str">
        <f t="shared" si="4"/>
        <v>WASTE</v>
      </c>
      <c r="S10" t="str">
        <f>IF(M10&gt;L7=MIN(M10:M15,),"I can travel","I can't travel")</f>
        <v>I can't travel</v>
      </c>
      <c r="T10">
        <f>_xlfn.RANK.EQ(M10,M$5:M$10,0)</f>
        <v>3</v>
      </c>
    </row>
    <row r="11" spans="1:20" x14ac:dyDescent="0.3">
      <c r="M11" s="5"/>
      <c r="N11" s="7"/>
      <c r="O11" s="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ADEF3-8656-4AA6-84DF-C24AA5391409}">
  <dimension ref="H3:S16"/>
  <sheetViews>
    <sheetView topLeftCell="C1" zoomScale="98" workbookViewId="0">
      <selection activeCell="S18" sqref="S18"/>
    </sheetView>
  </sheetViews>
  <sheetFormatPr defaultRowHeight="14.4" x14ac:dyDescent="0.3"/>
  <cols>
    <col min="8" max="8" width="7.5546875" bestFit="1" customWidth="1"/>
    <col min="9" max="9" width="14.33203125" bestFit="1" customWidth="1"/>
    <col min="10" max="10" width="14.21875" bestFit="1" customWidth="1"/>
    <col min="11" max="11" width="9.33203125" bestFit="1" customWidth="1"/>
    <col min="12" max="12" width="8.6640625" bestFit="1" customWidth="1"/>
    <col min="13" max="13" width="10.109375" bestFit="1" customWidth="1"/>
    <col min="14" max="14" width="14" bestFit="1" customWidth="1"/>
    <col min="15" max="15" width="10.109375" bestFit="1" customWidth="1"/>
    <col min="16" max="16" width="5.5546875" bestFit="1" customWidth="1"/>
    <col min="17" max="17" width="10.109375" bestFit="1" customWidth="1"/>
    <col min="18" max="18" width="17" bestFit="1" customWidth="1"/>
    <col min="19" max="19" width="27.33203125" bestFit="1" customWidth="1"/>
  </cols>
  <sheetData>
    <row r="3" spans="8:19" x14ac:dyDescent="0.3">
      <c r="H3" s="2" t="s">
        <v>1</v>
      </c>
      <c r="I3" s="2" t="s">
        <v>2</v>
      </c>
      <c r="J3" s="2" t="s">
        <v>3</v>
      </c>
      <c r="K3" s="2" t="s">
        <v>4</v>
      </c>
      <c r="L3" s="2" t="s">
        <v>5</v>
      </c>
      <c r="M3" s="2" t="s">
        <v>6</v>
      </c>
      <c r="N3" s="2" t="s">
        <v>7</v>
      </c>
      <c r="O3" s="2" t="s">
        <v>8</v>
      </c>
      <c r="P3" s="2" t="s">
        <v>9</v>
      </c>
      <c r="Q3" s="2" t="s">
        <v>10</v>
      </c>
    </row>
    <row r="4" spans="8:19" x14ac:dyDescent="0.3">
      <c r="H4" s="3">
        <v>101</v>
      </c>
      <c r="I4" s="3" t="s">
        <v>11</v>
      </c>
      <c r="J4" s="3">
        <v>20</v>
      </c>
      <c r="K4" s="3" t="s">
        <v>12</v>
      </c>
      <c r="L4" s="3" t="s">
        <v>13</v>
      </c>
      <c r="M4" s="3">
        <v>60</v>
      </c>
      <c r="N4" s="3" t="s">
        <v>14</v>
      </c>
      <c r="O4" s="3" t="s">
        <v>15</v>
      </c>
      <c r="P4" s="4">
        <v>0.83333333333333337</v>
      </c>
      <c r="Q4" s="3" t="s">
        <v>16</v>
      </c>
    </row>
    <row r="5" spans="8:19" x14ac:dyDescent="0.3">
      <c r="H5" s="3">
        <v>102</v>
      </c>
      <c r="I5" s="3" t="s">
        <v>17</v>
      </c>
      <c r="J5" s="3">
        <v>30</v>
      </c>
      <c r="K5" s="3" t="s">
        <v>18</v>
      </c>
      <c r="L5" s="3" t="s">
        <v>19</v>
      </c>
      <c r="M5" s="3">
        <v>50</v>
      </c>
      <c r="N5" s="3" t="s">
        <v>20</v>
      </c>
      <c r="O5" s="3" t="s">
        <v>21</v>
      </c>
      <c r="P5" s="4">
        <v>0.64583333333333337</v>
      </c>
      <c r="Q5" s="3" t="s">
        <v>22</v>
      </c>
    </row>
    <row r="6" spans="8:19" x14ac:dyDescent="0.3">
      <c r="H6" s="3">
        <v>103</v>
      </c>
      <c r="I6" s="3" t="s">
        <v>23</v>
      </c>
      <c r="J6" s="3">
        <v>50</v>
      </c>
      <c r="K6" s="3" t="s">
        <v>24</v>
      </c>
      <c r="L6" s="3" t="s">
        <v>25</v>
      </c>
      <c r="M6" s="3">
        <v>100</v>
      </c>
      <c r="N6" s="3" t="s">
        <v>14</v>
      </c>
      <c r="O6" s="3" t="s">
        <v>26</v>
      </c>
      <c r="P6" s="4">
        <v>0.34027777777777779</v>
      </c>
      <c r="Q6" s="3" t="s">
        <v>27</v>
      </c>
    </row>
    <row r="7" spans="8:19" x14ac:dyDescent="0.3">
      <c r="H7" s="3">
        <v>104</v>
      </c>
      <c r="I7" s="3" t="s">
        <v>28</v>
      </c>
      <c r="J7" s="3">
        <v>40</v>
      </c>
      <c r="K7" s="3" t="s">
        <v>24</v>
      </c>
      <c r="L7" s="3" t="s">
        <v>29</v>
      </c>
      <c r="M7" s="3">
        <v>120</v>
      </c>
      <c r="N7" s="3" t="s">
        <v>26</v>
      </c>
      <c r="O7" s="3" t="s">
        <v>21</v>
      </c>
      <c r="P7" s="4">
        <v>2.361111111111111E-2</v>
      </c>
      <c r="Q7" s="3" t="s">
        <v>27</v>
      </c>
    </row>
    <row r="8" spans="8:19" x14ac:dyDescent="0.3">
      <c r="H8" s="3">
        <v>105</v>
      </c>
      <c r="I8" s="3" t="s">
        <v>30</v>
      </c>
      <c r="J8" s="3">
        <v>10</v>
      </c>
      <c r="K8" s="3" t="s">
        <v>18</v>
      </c>
      <c r="L8" s="3" t="s">
        <v>31</v>
      </c>
      <c r="M8" s="3">
        <v>30</v>
      </c>
      <c r="N8" s="3" t="s">
        <v>14</v>
      </c>
      <c r="O8" s="3" t="s">
        <v>44</v>
      </c>
      <c r="P8" s="4">
        <v>0.99652777777777779</v>
      </c>
      <c r="Q8" s="3" t="s">
        <v>16</v>
      </c>
    </row>
    <row r="9" spans="8:19" x14ac:dyDescent="0.3">
      <c r="H9" s="3">
        <v>106</v>
      </c>
      <c r="I9" s="3" t="s">
        <v>33</v>
      </c>
      <c r="J9" s="3">
        <v>30</v>
      </c>
      <c r="K9" s="3" t="s">
        <v>34</v>
      </c>
      <c r="L9" s="3" t="s">
        <v>35</v>
      </c>
      <c r="M9" s="3">
        <v>60</v>
      </c>
      <c r="N9" s="3" t="s">
        <v>32</v>
      </c>
      <c r="O9" s="3" t="s">
        <v>21</v>
      </c>
      <c r="P9" s="4">
        <v>0.50347222222222221</v>
      </c>
      <c r="Q9" s="3" t="s">
        <v>22</v>
      </c>
    </row>
    <row r="11" spans="8:19" x14ac:dyDescent="0.3">
      <c r="M11" s="3" t="s">
        <v>47</v>
      </c>
      <c r="Q11" s="3" t="s">
        <v>48</v>
      </c>
    </row>
    <row r="12" spans="8:19" x14ac:dyDescent="0.3">
      <c r="M12" s="3" t="s">
        <v>45</v>
      </c>
      <c r="N12" s="3" t="s">
        <v>46</v>
      </c>
      <c r="Q12" s="3" t="s">
        <v>45</v>
      </c>
      <c r="R12" s="9" t="s">
        <v>49</v>
      </c>
      <c r="S12" s="9" t="s">
        <v>50</v>
      </c>
    </row>
    <row r="13" spans="8:19" x14ac:dyDescent="0.3">
      <c r="M13" s="3" t="s">
        <v>15</v>
      </c>
      <c r="N13" s="8">
        <f>COUNTIF(O$4:O$9,M13)</f>
        <v>1</v>
      </c>
      <c r="Q13" s="3" t="s">
        <v>15</v>
      </c>
      <c r="R13" s="8">
        <f>SUMIF(O$4:O$9,M13,M$4:M$9)</f>
        <v>60</v>
      </c>
      <c r="S13" s="8">
        <f>R13/N13</f>
        <v>60</v>
      </c>
    </row>
    <row r="14" spans="8:19" x14ac:dyDescent="0.3">
      <c r="M14" s="3" t="s">
        <v>21</v>
      </c>
      <c r="N14" s="8">
        <f t="shared" ref="N14:N16" si="0">COUNTIF(O$4:O$9,M14)</f>
        <v>3</v>
      </c>
      <c r="Q14" s="3" t="s">
        <v>21</v>
      </c>
      <c r="R14" s="8">
        <f>SUMIF(O$4:O$9,M14,M$4:M$9)</f>
        <v>230</v>
      </c>
      <c r="S14" s="8">
        <f t="shared" ref="S14:S16" si="1">R14/N14</f>
        <v>76.666666666666671</v>
      </c>
    </row>
    <row r="15" spans="8:19" x14ac:dyDescent="0.3">
      <c r="M15" s="3" t="s">
        <v>26</v>
      </c>
      <c r="N15" s="8">
        <f t="shared" si="0"/>
        <v>1</v>
      </c>
      <c r="Q15" s="3" t="s">
        <v>26</v>
      </c>
      <c r="R15" s="8">
        <f t="shared" ref="R15:R16" si="2">SUMIF(O$4:O$9,M15,M$4:M$9)</f>
        <v>100</v>
      </c>
      <c r="S15" s="8">
        <f t="shared" si="1"/>
        <v>100</v>
      </c>
    </row>
    <row r="16" spans="8:19" x14ac:dyDescent="0.3">
      <c r="M16" s="3" t="s">
        <v>44</v>
      </c>
      <c r="N16" s="8">
        <f t="shared" si="0"/>
        <v>1</v>
      </c>
      <c r="Q16" s="3" t="s">
        <v>44</v>
      </c>
      <c r="R16" s="8">
        <f t="shared" si="2"/>
        <v>30</v>
      </c>
      <c r="S16" s="8">
        <f t="shared" si="1"/>
        <v>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ATHARV</dc:creator>
  <cp:lastModifiedBy>Atharva ninawe</cp:lastModifiedBy>
  <dcterms:created xsi:type="dcterms:W3CDTF">2015-06-05T18:17:20Z</dcterms:created>
  <dcterms:modified xsi:type="dcterms:W3CDTF">2026-03-16T18:05:13Z</dcterms:modified>
</cp:coreProperties>
</file>