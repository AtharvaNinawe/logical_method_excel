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RC Institute\logical_method_excel\"/>
    </mc:Choice>
  </mc:AlternateContent>
  <xr:revisionPtr revIDLastSave="0" documentId="13_ncr:1_{A788E91A-06F8-48F7-9621-7E1C462BCA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Q21" i="1"/>
  <c r="S21" i="1" s="1"/>
  <c r="R20" i="1"/>
  <c r="Q20" i="1"/>
  <c r="S20" i="1" s="1"/>
  <c r="R19" i="1"/>
  <c r="Q19" i="1"/>
  <c r="S19" i="1" s="1"/>
  <c r="R18" i="1"/>
  <c r="Q18" i="1"/>
  <c r="S18" i="1" s="1"/>
  <c r="R17" i="1"/>
  <c r="Q17" i="1"/>
  <c r="S17" i="1" s="1"/>
  <c r="R16" i="1"/>
  <c r="Q16" i="1"/>
  <c r="S16" i="1" s="1"/>
  <c r="W16" i="1" l="1"/>
  <c r="W22" i="1" s="1"/>
  <c r="U16" i="1"/>
  <c r="T16" i="1"/>
  <c r="W17" i="1"/>
  <c r="U17" i="1"/>
  <c r="T17" i="1"/>
  <c r="U19" i="1"/>
  <c r="T19" i="1"/>
  <c r="W19" i="1"/>
  <c r="W18" i="1"/>
  <c r="U18" i="1"/>
  <c r="T18" i="1"/>
  <c r="W20" i="1"/>
  <c r="U20" i="1"/>
  <c r="T20" i="1"/>
  <c r="U21" i="1"/>
  <c r="T21" i="1"/>
  <c r="W21" i="1"/>
</calcChain>
</file>

<file path=xl/sharedStrings.xml><?xml version="1.0" encoding="utf-8"?>
<sst xmlns="http://schemas.openxmlformats.org/spreadsheetml/2006/main" count="71" uniqueCount="58">
  <si>
    <t>A1-ARC</t>
  </si>
  <si>
    <t>ID</t>
  </si>
  <si>
    <t>Name</t>
  </si>
  <si>
    <t>Qty</t>
  </si>
  <si>
    <t>user1</t>
  </si>
  <si>
    <t>user2</t>
  </si>
  <si>
    <t>user3</t>
  </si>
  <si>
    <t>user4</t>
  </si>
  <si>
    <t>user5</t>
  </si>
  <si>
    <t>Header</t>
  </si>
  <si>
    <t>Row</t>
  </si>
  <si>
    <t>info</t>
  </si>
  <si>
    <t>this is a info that user1 have purchsed 5 qty</t>
  </si>
  <si>
    <t>this is a info that user2 have purchsed 10 qty</t>
  </si>
  <si>
    <t>this is a info that user3 have purchsed 15 qty</t>
  </si>
  <si>
    <t>this is a info that user4 have purchsed 20 qty</t>
  </si>
  <si>
    <t>this is a info that user5 have purchsed 50 qty</t>
  </si>
  <si>
    <t>seat_no</t>
  </si>
  <si>
    <t>customer_name</t>
  </si>
  <si>
    <t>baggage_weight</t>
  </si>
  <si>
    <t>seat_class</t>
  </si>
  <si>
    <t>ticket_no</t>
  </si>
  <si>
    <t>price</t>
  </si>
  <si>
    <t>from</t>
  </si>
  <si>
    <t xml:space="preserve"> to</t>
  </si>
  <si>
    <t>time</t>
  </si>
  <si>
    <t>cmp</t>
  </si>
  <si>
    <t>TAX</t>
  </si>
  <si>
    <t>GST</t>
  </si>
  <si>
    <t>After Tax price</t>
  </si>
  <si>
    <t>rank</t>
  </si>
  <si>
    <t>quantity</t>
  </si>
  <si>
    <t>final price</t>
  </si>
  <si>
    <t>cust1</t>
  </si>
  <si>
    <t>P</t>
  </si>
  <si>
    <t>T-101</t>
  </si>
  <si>
    <t>NAGPUR</t>
  </si>
  <si>
    <t>DELHI</t>
  </si>
  <si>
    <t>indigo</t>
  </si>
  <si>
    <t>cust2</t>
  </si>
  <si>
    <t>E</t>
  </si>
  <si>
    <t>T-102</t>
  </si>
  <si>
    <t>PUNE</t>
  </si>
  <si>
    <t>MUMBAI</t>
  </si>
  <si>
    <t>AIR INDIA</t>
  </si>
  <si>
    <t>ARC_cust</t>
  </si>
  <si>
    <t>L</t>
  </si>
  <si>
    <t>T-103</t>
  </si>
  <si>
    <t>DUBAI</t>
  </si>
  <si>
    <t>qatar airlines</t>
  </si>
  <si>
    <t>Vigo_cust</t>
  </si>
  <si>
    <t>T-104</t>
  </si>
  <si>
    <t>arc2</t>
  </si>
  <si>
    <t>T-105</t>
  </si>
  <si>
    <t>hyderabad</t>
  </si>
  <si>
    <t>DB_user1</t>
  </si>
  <si>
    <t>p</t>
  </si>
  <si>
    <t>T-106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</si>
</sst>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0" fontId="0" fillId="3" borderId="1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B7" zoomScaleNormal="100" workbookViewId="0">
      <selection activeCell="K26" sqref="K26"/>
    </sheetView>
  </sheetViews>
  <sheetFormatPr defaultRowHeight="14.4" x14ac:dyDescent="0.3"/>
  <cols>
    <col min="12" max="12" width="5.88671875" customWidth="1"/>
    <col min="13" max="13" width="13.6640625" customWidth="1"/>
    <col min="14" max="14" width="8.21875" customWidth="1"/>
    <col min="15" max="15" width="31.77734375" customWidth="1"/>
  </cols>
  <sheetData>
    <row r="1" spans="1:23" x14ac:dyDescent="0.3">
      <c r="A1" t="s">
        <v>0</v>
      </c>
      <c r="C1" t="s">
        <v>0</v>
      </c>
    </row>
    <row r="5" spans="1:23" ht="21" x14ac:dyDescent="0.4">
      <c r="L5" s="1" t="s">
        <v>1</v>
      </c>
      <c r="M5" s="1" t="s">
        <v>2</v>
      </c>
      <c r="N5" s="1" t="s">
        <v>3</v>
      </c>
      <c r="O5" s="1" t="s">
        <v>11</v>
      </c>
      <c r="P5" s="2"/>
      <c r="Q5" s="3"/>
      <c r="R5" s="2" t="s">
        <v>9</v>
      </c>
      <c r="S5" s="2"/>
    </row>
    <row r="6" spans="1:23" ht="42" x14ac:dyDescent="0.4">
      <c r="L6" s="4">
        <v>1</v>
      </c>
      <c r="M6" s="5" t="s">
        <v>4</v>
      </c>
      <c r="N6" s="4">
        <v>5</v>
      </c>
      <c r="O6" s="6" t="s">
        <v>12</v>
      </c>
      <c r="P6" s="2"/>
      <c r="Q6" s="7"/>
      <c r="R6" s="2" t="s">
        <v>10</v>
      </c>
      <c r="S6" s="2"/>
    </row>
    <row r="7" spans="1:23" ht="42" x14ac:dyDescent="0.4">
      <c r="L7" s="4">
        <v>2</v>
      </c>
      <c r="M7" s="5" t="s">
        <v>5</v>
      </c>
      <c r="N7" s="4">
        <v>10</v>
      </c>
      <c r="O7" s="6" t="s">
        <v>13</v>
      </c>
      <c r="P7" s="2"/>
      <c r="Q7" s="2"/>
      <c r="R7" s="2"/>
      <c r="S7" s="2"/>
    </row>
    <row r="8" spans="1:23" ht="42" x14ac:dyDescent="0.4">
      <c r="L8" s="4">
        <v>3</v>
      </c>
      <c r="M8" s="5" t="s">
        <v>6</v>
      </c>
      <c r="N8" s="4">
        <v>15</v>
      </c>
      <c r="O8" s="6" t="s">
        <v>14</v>
      </c>
      <c r="P8" s="2"/>
      <c r="Q8" s="2"/>
      <c r="R8" s="2"/>
      <c r="S8" s="2"/>
    </row>
    <row r="9" spans="1:23" ht="42" x14ac:dyDescent="0.4">
      <c r="L9" s="4">
        <v>4</v>
      </c>
      <c r="M9" s="5" t="s">
        <v>7</v>
      </c>
      <c r="N9" s="4">
        <v>20</v>
      </c>
      <c r="O9" s="6" t="s">
        <v>15</v>
      </c>
      <c r="P9" s="2"/>
      <c r="Q9" s="2"/>
      <c r="R9" s="2"/>
      <c r="S9" s="2"/>
    </row>
    <row r="10" spans="1:23" ht="42" x14ac:dyDescent="0.4">
      <c r="L10" s="4">
        <v>5</v>
      </c>
      <c r="M10" s="5" t="s">
        <v>8</v>
      </c>
      <c r="N10" s="4">
        <v>50</v>
      </c>
      <c r="O10" s="6" t="s">
        <v>16</v>
      </c>
      <c r="P10" s="2"/>
      <c r="Q10" s="2"/>
      <c r="R10" s="2"/>
      <c r="S10" s="2"/>
    </row>
    <row r="11" spans="1:23" ht="21" x14ac:dyDescent="0.4">
      <c r="L11" s="2"/>
      <c r="M11" s="2"/>
      <c r="N11" s="2"/>
      <c r="O11" s="2"/>
      <c r="P11" s="2"/>
      <c r="Q11" s="2"/>
      <c r="R11" s="2"/>
      <c r="S11" s="2"/>
    </row>
    <row r="15" spans="1:23" x14ac:dyDescent="0.3">
      <c r="G15" s="8" t="s">
        <v>17</v>
      </c>
      <c r="H15" s="8" t="s">
        <v>18</v>
      </c>
      <c r="I15" s="8" t="s">
        <v>19</v>
      </c>
      <c r="J15" s="8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 t="s">
        <v>25</v>
      </c>
      <c r="P15" s="8" t="s">
        <v>26</v>
      </c>
      <c r="Q15" s="8" t="s">
        <v>27</v>
      </c>
      <c r="R15" s="8" t="s">
        <v>28</v>
      </c>
      <c r="S15" s="8" t="s">
        <v>29</v>
      </c>
      <c r="T15" s="8" t="s">
        <v>30</v>
      </c>
      <c r="U15" s="8" t="s">
        <v>30</v>
      </c>
      <c r="V15" s="8" t="s">
        <v>31</v>
      </c>
      <c r="W15" s="8" t="s">
        <v>32</v>
      </c>
    </row>
    <row r="16" spans="1:23" x14ac:dyDescent="0.3">
      <c r="G16" s="9">
        <v>101</v>
      </c>
      <c r="H16" s="9" t="s">
        <v>33</v>
      </c>
      <c r="I16" s="9">
        <v>20</v>
      </c>
      <c r="J16" s="9" t="s">
        <v>34</v>
      </c>
      <c r="K16" s="9" t="s">
        <v>35</v>
      </c>
      <c r="L16" s="9">
        <v>60</v>
      </c>
      <c r="M16" s="9" t="s">
        <v>36</v>
      </c>
      <c r="N16" s="9" t="s">
        <v>37</v>
      </c>
      <c r="O16" s="10">
        <v>0.83333333333333337</v>
      </c>
      <c r="P16" s="9" t="s">
        <v>38</v>
      </c>
      <c r="Q16" s="9" t="e">
        <f>$H16*Q$2</f>
        <v>#VALUE!</v>
      </c>
      <c r="R16" s="9" t="e">
        <f>$H16*R$2</f>
        <v>#VALUE!</v>
      </c>
      <c r="S16" s="9" t="e">
        <f>Q16+L16</f>
        <v>#VALUE!</v>
      </c>
      <c r="T16" s="9" t="e">
        <f>_xlfn.RANK.AVG(S16,$O$6:$O$11,0)</f>
        <v>#VALUE!</v>
      </c>
      <c r="U16" s="9" t="e">
        <f>_xlfn.RANK.EQ(S16,$O$6:$O$11,0)</f>
        <v>#VALUE!</v>
      </c>
      <c r="V16" s="9">
        <v>2</v>
      </c>
      <c r="W16" s="9" t="e">
        <f>V16*S16</f>
        <v>#VALUE!</v>
      </c>
    </row>
    <row r="17" spans="7:23" x14ac:dyDescent="0.3">
      <c r="G17" s="9">
        <v>102</v>
      </c>
      <c r="H17" s="9" t="s">
        <v>39</v>
      </c>
      <c r="I17" s="9">
        <v>30</v>
      </c>
      <c r="J17" s="9" t="s">
        <v>40</v>
      </c>
      <c r="K17" s="9" t="s">
        <v>41</v>
      </c>
      <c r="L17" s="9">
        <v>50</v>
      </c>
      <c r="M17" s="9" t="s">
        <v>42</v>
      </c>
      <c r="N17" s="9" t="s">
        <v>43</v>
      </c>
      <c r="O17" s="10">
        <v>0.64583333333333337</v>
      </c>
      <c r="P17" s="9" t="s">
        <v>44</v>
      </c>
      <c r="Q17" s="9" t="e">
        <f t="shared" ref="Q17:R21" si="0">$H17*Q$2</f>
        <v>#VALUE!</v>
      </c>
      <c r="R17" s="9" t="e">
        <f t="shared" si="0"/>
        <v>#VALUE!</v>
      </c>
      <c r="S17" s="9" t="e">
        <f t="shared" ref="S17:S21" si="1">Q17+L17</f>
        <v>#VALUE!</v>
      </c>
      <c r="T17" s="9" t="e">
        <f t="shared" ref="T17:T20" si="2">_xlfn.RANK.AVG(S17,$O$6:$O$11,0)</f>
        <v>#VALUE!</v>
      </c>
      <c r="U17" s="9" t="e">
        <f t="shared" ref="U17:U21" si="3">_xlfn.RANK.EQ(S17,$O$6:$O$11,0)</f>
        <v>#VALUE!</v>
      </c>
      <c r="V17" s="9">
        <v>4</v>
      </c>
      <c r="W17" s="9" t="e">
        <f t="shared" ref="W17:W20" si="4">V17*S17</f>
        <v>#VALUE!</v>
      </c>
    </row>
    <row r="18" spans="7:23" x14ac:dyDescent="0.3">
      <c r="G18" s="9">
        <v>103</v>
      </c>
      <c r="H18" s="9" t="s">
        <v>45</v>
      </c>
      <c r="I18" s="9">
        <v>50</v>
      </c>
      <c r="J18" s="9" t="s">
        <v>46</v>
      </c>
      <c r="K18" s="9" t="s">
        <v>47</v>
      </c>
      <c r="L18" s="9">
        <v>100</v>
      </c>
      <c r="M18" s="9" t="s">
        <v>36</v>
      </c>
      <c r="N18" s="9" t="s">
        <v>48</v>
      </c>
      <c r="O18" s="10">
        <v>0.34027777777777779</v>
      </c>
      <c r="P18" s="9" t="s">
        <v>49</v>
      </c>
      <c r="Q18" s="9" t="e">
        <f t="shared" si="0"/>
        <v>#VALUE!</v>
      </c>
      <c r="R18" s="9" t="e">
        <f t="shared" si="0"/>
        <v>#VALUE!</v>
      </c>
      <c r="S18" s="9" t="e">
        <f t="shared" si="1"/>
        <v>#VALUE!</v>
      </c>
      <c r="T18" s="9" t="e">
        <f t="shared" si="2"/>
        <v>#VALUE!</v>
      </c>
      <c r="U18" s="9" t="e">
        <f t="shared" si="3"/>
        <v>#VALUE!</v>
      </c>
      <c r="V18" s="9">
        <v>5</v>
      </c>
      <c r="W18" s="9" t="e">
        <f t="shared" si="4"/>
        <v>#VALUE!</v>
      </c>
    </row>
    <row r="19" spans="7:23" x14ac:dyDescent="0.3">
      <c r="G19" s="9">
        <v>104</v>
      </c>
      <c r="H19" s="9" t="s">
        <v>50</v>
      </c>
      <c r="I19" s="9">
        <v>40</v>
      </c>
      <c r="J19" s="9" t="s">
        <v>46</v>
      </c>
      <c r="K19" s="9" t="s">
        <v>51</v>
      </c>
      <c r="L19" s="9">
        <v>120</v>
      </c>
      <c r="M19" s="9" t="s">
        <v>48</v>
      </c>
      <c r="N19" s="9" t="s">
        <v>43</v>
      </c>
      <c r="O19" s="10">
        <v>2.361111111111111E-2</v>
      </c>
      <c r="P19" s="9" t="s">
        <v>49</v>
      </c>
      <c r="Q19" s="9" t="e">
        <f t="shared" si="0"/>
        <v>#VALUE!</v>
      </c>
      <c r="R19" s="9" t="e">
        <f t="shared" si="0"/>
        <v>#VALUE!</v>
      </c>
      <c r="S19" s="9" t="e">
        <f t="shared" si="1"/>
        <v>#VALUE!</v>
      </c>
      <c r="T19" s="9" t="e">
        <f t="shared" si="2"/>
        <v>#VALUE!</v>
      </c>
      <c r="U19" s="9" t="e">
        <f t="shared" si="3"/>
        <v>#VALUE!</v>
      </c>
      <c r="V19" s="9">
        <v>1</v>
      </c>
      <c r="W19" s="9" t="e">
        <f t="shared" si="4"/>
        <v>#VALUE!</v>
      </c>
    </row>
    <row r="20" spans="7:23" x14ac:dyDescent="0.3">
      <c r="G20" s="9">
        <v>105</v>
      </c>
      <c r="H20" s="9" t="s">
        <v>52</v>
      </c>
      <c r="I20" s="9">
        <v>10</v>
      </c>
      <c r="J20" s="9" t="s">
        <v>40</v>
      </c>
      <c r="K20" s="9" t="s">
        <v>53</v>
      </c>
      <c r="L20" s="9">
        <v>30</v>
      </c>
      <c r="M20" s="9" t="s">
        <v>36</v>
      </c>
      <c r="N20" s="9" t="s">
        <v>54</v>
      </c>
      <c r="O20" s="10">
        <v>0.99652777777777779</v>
      </c>
      <c r="P20" s="9" t="s">
        <v>38</v>
      </c>
      <c r="Q20" s="9" t="e">
        <f t="shared" si="0"/>
        <v>#VALUE!</v>
      </c>
      <c r="R20" s="9" t="e">
        <f t="shared" si="0"/>
        <v>#VALUE!</v>
      </c>
      <c r="S20" s="9" t="e">
        <f t="shared" si="1"/>
        <v>#VALUE!</v>
      </c>
      <c r="T20" s="9" t="e">
        <f t="shared" si="2"/>
        <v>#VALUE!</v>
      </c>
      <c r="U20" s="9" t="e">
        <f t="shared" si="3"/>
        <v>#VALUE!</v>
      </c>
      <c r="V20" s="9">
        <v>2</v>
      </c>
      <c r="W20" s="9" t="e">
        <f t="shared" si="4"/>
        <v>#VALUE!</v>
      </c>
    </row>
    <row r="21" spans="7:23" x14ac:dyDescent="0.3">
      <c r="G21" s="9">
        <v>106</v>
      </c>
      <c r="H21" s="9" t="s">
        <v>55</v>
      </c>
      <c r="I21" s="9">
        <v>30</v>
      </c>
      <c r="J21" s="9" t="s">
        <v>56</v>
      </c>
      <c r="K21" s="9" t="s">
        <v>57</v>
      </c>
      <c r="L21" s="9">
        <v>60</v>
      </c>
      <c r="M21" s="9" t="s">
        <v>54</v>
      </c>
      <c r="N21" s="9" t="s">
        <v>43</v>
      </c>
      <c r="O21" s="10">
        <v>0.50347222222222221</v>
      </c>
      <c r="P21" s="9" t="s">
        <v>44</v>
      </c>
      <c r="Q21" s="9" t="e">
        <f t="shared" si="0"/>
        <v>#VALUE!</v>
      </c>
      <c r="R21" s="9" t="e">
        <f t="shared" si="0"/>
        <v>#VALUE!</v>
      </c>
      <c r="S21" s="9" t="e">
        <f t="shared" si="1"/>
        <v>#VALUE!</v>
      </c>
      <c r="T21" s="9" t="e">
        <f>_xlfn.RANK.AVG(S21,$O$6:$O$11,0)</f>
        <v>#VALUE!</v>
      </c>
      <c r="U21" s="9" t="e">
        <f t="shared" si="3"/>
        <v>#VALUE!</v>
      </c>
      <c r="V21" s="9">
        <v>9</v>
      </c>
      <c r="W21" s="9" t="e">
        <f>V21*S21</f>
        <v>#VALUE!</v>
      </c>
    </row>
    <row r="22" spans="7:23" x14ac:dyDescent="0.3"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W22" t="e">
        <f>SUM(W16:W21)</f>
        <v>#VALUE!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Atharva ninawe</cp:lastModifiedBy>
  <dcterms:created xsi:type="dcterms:W3CDTF">2015-06-05T18:17:20Z</dcterms:created>
  <dcterms:modified xsi:type="dcterms:W3CDTF">2026-03-12T02:38:46Z</dcterms:modified>
</cp:coreProperties>
</file>